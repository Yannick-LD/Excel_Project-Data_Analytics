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e30105161c2e21/Documents/DATA ANALYSIS PATH/Excel_Data_Analytics_Course-main/2_Formulas_Functions/"/>
    </mc:Choice>
  </mc:AlternateContent>
  <xr:revisionPtr revIDLastSave="44" documentId="13_ncr:1_{5BF50AE8-6F59-4DF5-B44C-2445C4C088D3}" xr6:coauthVersionLast="47" xr6:coauthVersionMax="47" xr10:uidLastSave="{E36F34B4-84A6-428C-A283-F282B6CE9FC1}"/>
  <bookViews>
    <workbookView xWindow="-120" yWindow="-120" windowWidth="29040" windowHeight="15720" activeTab="2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9" l="1"/>
  <c r="C17" i="9"/>
  <c r="D16" i="9"/>
  <c r="C16" i="9"/>
  <c r="F16" i="9"/>
  <c r="G16" i="9"/>
  <c r="H16" i="9"/>
  <c r="I16" i="9"/>
  <c r="J16" i="9"/>
  <c r="K16" i="9"/>
  <c r="E15" i="9"/>
  <c r="D15" i="9"/>
  <c r="C15" i="9"/>
  <c r="P13" i="9"/>
  <c r="P14" i="9"/>
  <c r="P15" i="9"/>
  <c r="P16" i="9"/>
  <c r="P17" i="9"/>
  <c r="D14" i="9"/>
  <c r="E14" i="9"/>
  <c r="D13" i="9"/>
  <c r="E13" i="9"/>
  <c r="C13" i="9"/>
  <c r="C14" i="9"/>
  <c r="L12" i="9"/>
  <c r="K12" i="9"/>
  <c r="H12" i="9"/>
  <c r="I12" i="9" s="1"/>
  <c r="G12" i="9"/>
  <c r="F12" i="9"/>
  <c r="L11" i="9"/>
  <c r="K11" i="9"/>
  <c r="H11" i="9"/>
  <c r="I11" i="9" s="1"/>
  <c r="G11" i="9"/>
  <c r="F11" i="9"/>
  <c r="L10" i="9"/>
  <c r="K10" i="9"/>
  <c r="H10" i="9"/>
  <c r="I10" i="9" s="1"/>
  <c r="G10" i="9"/>
  <c r="F10" i="9"/>
  <c r="L9" i="9"/>
  <c r="K9" i="9"/>
  <c r="H9" i="9"/>
  <c r="I9" i="9" s="1"/>
  <c r="G9" i="9"/>
  <c r="F9" i="9"/>
  <c r="L8" i="9"/>
  <c r="K8" i="9"/>
  <c r="H8" i="9"/>
  <c r="I8" i="9" s="1"/>
  <c r="G8" i="9"/>
  <c r="F8" i="9"/>
  <c r="M7" i="9"/>
  <c r="L7" i="9"/>
  <c r="K7" i="9"/>
  <c r="I7" i="9"/>
  <c r="J7" i="9" s="1"/>
  <c r="H7" i="9"/>
  <c r="G7" i="9"/>
  <c r="F7" i="9"/>
  <c r="L6" i="9"/>
  <c r="K6" i="9"/>
  <c r="H6" i="9"/>
  <c r="I6" i="9" s="1"/>
  <c r="G6" i="9"/>
  <c r="F6" i="9"/>
  <c r="L5" i="9"/>
  <c r="K5" i="9"/>
  <c r="H5" i="9"/>
  <c r="I5" i="9" s="1"/>
  <c r="G5" i="9"/>
  <c r="F5" i="9"/>
  <c r="L4" i="9"/>
  <c r="K4" i="9"/>
  <c r="H4" i="9"/>
  <c r="I4" i="9" s="1"/>
  <c r="G4" i="9"/>
  <c r="F4" i="9"/>
  <c r="L3" i="9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L16" i="9" l="1"/>
  <c r="M12" i="9"/>
  <c r="J12" i="9"/>
  <c r="J11" i="9"/>
  <c r="M11" i="9"/>
  <c r="M10" i="9"/>
  <c r="J10" i="9"/>
  <c r="J9" i="9"/>
  <c r="M9" i="9"/>
  <c r="N8" i="9"/>
  <c r="O8" i="9"/>
  <c r="P8" i="9" s="1"/>
  <c r="J8" i="9"/>
  <c r="M8" i="9"/>
  <c r="O7" i="9"/>
  <c r="P7" i="9" s="1"/>
  <c r="N7" i="9"/>
  <c r="J6" i="9"/>
  <c r="M6" i="9"/>
  <c r="J5" i="9"/>
  <c r="M5" i="9"/>
  <c r="J4" i="9"/>
  <c r="M4" i="9"/>
  <c r="M3" i="9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N10" i="9" l="1"/>
  <c r="O10" i="9"/>
  <c r="P10" i="9" s="1"/>
  <c r="N3" i="9"/>
  <c r="O3" i="9"/>
  <c r="P3" i="9" s="1"/>
  <c r="O12" i="9"/>
  <c r="P12" i="9" s="1"/>
  <c r="N12" i="9"/>
  <c r="N11" i="9"/>
  <c r="O11" i="9"/>
  <c r="P11" i="9" s="1"/>
  <c r="N9" i="9"/>
  <c r="O9" i="9"/>
  <c r="P9" i="9" s="1"/>
  <c r="N6" i="9"/>
  <c r="O6" i="9"/>
  <c r="P6" i="9" s="1"/>
  <c r="N5" i="9"/>
  <c r="O5" i="9"/>
  <c r="P5" i="9" s="1"/>
  <c r="N4" i="9"/>
  <c r="O4" i="9"/>
  <c r="P4" i="9" s="1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<sst xmlns="http://schemas.openxmlformats.org/spreadsheetml/2006/main" count="83" uniqueCount="49">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</sst>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0.0%"/>
    <numFmt numFmtId="166" formatCode="_-* #,##0\ &quot;€&quot;_-;\-* #,##0\ &quot;€&quot;_-;_-* &quot;-&quot;??\ &quot;€&quot;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166" fontId="3" fillId="0" borderId="1" xfId="2" applyNumberFormat="1" applyFont="1" applyBorder="1" applyAlignment="1">
      <alignment vertical="center"/>
    </xf>
    <xf numFmtId="166" fontId="3" fillId="0" borderId="6" xfId="2" applyNumberFormat="1" applyFont="1" applyBorder="1" applyAlignment="1">
      <alignment vertical="center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zoomScale="120" zoomScaleNormal="120" workbookViewId="0">
      <selection activeCell="E22" sqref="E22"/>
    </sheetView>
  </sheetViews>
  <sheetFormatPr baseColWidth="10" defaultColWidth="9" defaultRowHeight="15" x14ac:dyDescent="0.25"/>
  <cols>
    <col min="1" max="1" width="5.140625" style="1" customWidth="1"/>
    <col min="2" max="2" width="24.5703125" style="1" customWidth="1"/>
    <col min="3" max="3" width="10.42578125" style="1" customWidth="1"/>
    <col min="4" max="4" width="20.42578125" style="1" bestFit="1" customWidth="1"/>
    <col min="5" max="5" width="18" style="1" bestFit="1" customWidth="1"/>
    <col min="6" max="6" width="10.5703125" style="1" hidden="1" customWidth="1"/>
    <col min="7" max="7" width="9" style="1" hidden="1" customWidth="1"/>
    <col min="8" max="9" width="11" style="1" hidden="1" customWidth="1"/>
    <col min="10" max="10" width="17.28515625" style="1" hidden="1" customWidth="1"/>
    <col min="11" max="11" width="14.28515625" style="1" hidden="1" customWidth="1"/>
    <col min="12" max="12" width="10.140625" style="1" hidden="1" customWidth="1"/>
    <col min="13" max="13" width="12.7109375" style="1" bestFit="1" customWidth="1"/>
    <col min="14" max="14" width="18.42578125" style="1" bestFit="1" customWidth="1"/>
    <col min="15" max="15" width="14.140625" style="1" customWidth="1"/>
    <col min="16" max="16" width="11.85546875" style="1" customWidth="1"/>
    <col min="17" max="17" width="9" style="1"/>
    <col min="18" max="18" width="14" style="1" bestFit="1" customWidth="1"/>
    <col min="19" max="16384" width="9" style="1"/>
  </cols>
  <sheetData>
    <row r="1" spans="2:19" ht="15.75" thickBot="1" x14ac:dyDescent="0.3">
      <c r="G1" s="28"/>
    </row>
    <row r="2" spans="2:19" s="8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.75" thickBot="1" x14ac:dyDescent="0.3">
      <c r="B3" s="5" t="s">
        <v>0</v>
      </c>
      <c r="C3" s="6">
        <v>5</v>
      </c>
      <c r="D3" s="40">
        <v>120000</v>
      </c>
      <c r="E3" s="41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AND(M3,O3)</f>
        <v>1</v>
      </c>
      <c r="R3" s="10" t="s">
        <v>22</v>
      </c>
      <c r="S3" s="11">
        <v>5</v>
      </c>
    </row>
    <row r="4" spans="2:19" ht="15.75" thickBot="1" x14ac:dyDescent="0.3">
      <c r="B4" s="5" t="s">
        <v>1</v>
      </c>
      <c r="C4" s="6">
        <v>4</v>
      </c>
      <c r="D4" s="40">
        <v>135000</v>
      </c>
      <c r="E4" s="41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7" si="10">AND(M4,O4)</f>
        <v>0</v>
      </c>
      <c r="R4" s="12" t="s">
        <v>23</v>
      </c>
      <c r="S4" s="13">
        <v>90000</v>
      </c>
    </row>
    <row r="5" spans="2:19" ht="15.75" thickBot="1" x14ac:dyDescent="0.3">
      <c r="B5" s="5" t="s">
        <v>2</v>
      </c>
      <c r="C5" s="6">
        <v>2</v>
      </c>
      <c r="D5" s="40">
        <v>75000</v>
      </c>
      <c r="E5" s="41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.75" thickBot="1" x14ac:dyDescent="0.3">
      <c r="B6" s="5" t="s">
        <v>3</v>
      </c>
      <c r="C6" s="6">
        <v>6</v>
      </c>
      <c r="D6" s="40">
        <v>110000</v>
      </c>
      <c r="E6" s="41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.75" thickBot="1" x14ac:dyDescent="0.3">
      <c r="B7" s="5" t="s">
        <v>4</v>
      </c>
      <c r="C7" s="6">
        <v>3</v>
      </c>
      <c r="D7" s="40">
        <v>125000</v>
      </c>
      <c r="E7" s="41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.75" thickBot="1" x14ac:dyDescent="0.3">
      <c r="B8" s="5" t="s">
        <v>5</v>
      </c>
      <c r="C8" s="6">
        <v>7</v>
      </c>
      <c r="D8" s="40">
        <v>90000</v>
      </c>
      <c r="E8" s="41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.75" thickBot="1" x14ac:dyDescent="0.3">
      <c r="B9" s="5" t="s">
        <v>6</v>
      </c>
      <c r="C9" s="6">
        <v>10</v>
      </c>
      <c r="D9" s="40">
        <v>150000</v>
      </c>
      <c r="E9" s="41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.75" thickBot="1" x14ac:dyDescent="0.3">
      <c r="B10" s="5" t="s">
        <v>7</v>
      </c>
      <c r="C10" s="6">
        <v>8</v>
      </c>
      <c r="D10" s="40">
        <v>130000</v>
      </c>
      <c r="E10" s="41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.75" thickBot="1" x14ac:dyDescent="0.3">
      <c r="B11" s="5" t="s">
        <v>8</v>
      </c>
      <c r="C11" s="6">
        <v>3</v>
      </c>
      <c r="D11" s="40">
        <v>140000</v>
      </c>
      <c r="E11" s="41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.75" thickBot="1" x14ac:dyDescent="0.3">
      <c r="B12" s="15" t="s">
        <v>9</v>
      </c>
      <c r="C12" s="16">
        <v>5</v>
      </c>
      <c r="D12" s="40">
        <v>115000</v>
      </c>
      <c r="E12" s="40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6.5" thickTop="1" thickBot="1" x14ac:dyDescent="0.3">
      <c r="B13" s="29" t="s">
        <v>27</v>
      </c>
      <c r="C13" s="19">
        <f>SUM(C3:C12)/10</f>
        <v>5.3</v>
      </c>
      <c r="D13" s="40">
        <f t="shared" ref="D13:E13" si="11">SUM(D3:D12)/10</f>
        <v>119000</v>
      </c>
      <c r="E13" s="40">
        <f t="shared" si="11"/>
        <v>10400</v>
      </c>
      <c r="P13" s="22" t="e">
        <f t="shared" si="10"/>
        <v>#VALUE!</v>
      </c>
    </row>
    <row r="14" spans="2:19" ht="15.75" thickBot="1" x14ac:dyDescent="0.3">
      <c r="B14" s="31" t="s">
        <v>28</v>
      </c>
      <c r="C14" s="20">
        <f>AVERAGE(C3:C12)</f>
        <v>5.3</v>
      </c>
      <c r="D14" s="40">
        <f t="shared" ref="D14:E14" si="12">AVERAGE(D3:D12)</f>
        <v>119000</v>
      </c>
      <c r="E14" s="40">
        <f t="shared" si="12"/>
        <v>10400</v>
      </c>
      <c r="P14" s="22" t="e">
        <f t="shared" si="10"/>
        <v>#VALUE!</v>
      </c>
    </row>
    <row r="15" spans="2:19" ht="16.5" thickTop="1" thickBot="1" x14ac:dyDescent="0.3">
      <c r="B15" s="29" t="s">
        <v>30</v>
      </c>
      <c r="C15" s="19">
        <f>COUNT(C3:C12)</f>
        <v>10</v>
      </c>
      <c r="D15" s="19">
        <f>COUNT(D3:D12)</f>
        <v>10</v>
      </c>
      <c r="E15" s="19">
        <f>COUNT(E3:E12)</f>
        <v>10</v>
      </c>
      <c r="P15" s="22" t="e">
        <f t="shared" si="10"/>
        <v>#VALUE!</v>
      </c>
    </row>
    <row r="16" spans="2:19" ht="15.75" thickBot="1" x14ac:dyDescent="0.3">
      <c r="B16" s="33" t="s">
        <v>31</v>
      </c>
      <c r="C16" s="18">
        <f>COUNTIF($C$3:$C$12,"&lt;=5")</f>
        <v>6</v>
      </c>
      <c r="D16" s="18">
        <f>COUNTIF($D$3:$D$12,"&gt;=90000")</f>
        <v>9</v>
      </c>
      <c r="E16" s="18"/>
      <c r="F16" s="18">
        <f t="shared" ref="D16:L16" si="13">COUNTIF(F3:F12,"&lt;=5")</f>
        <v>6</v>
      </c>
      <c r="G16" s="18">
        <f t="shared" si="13"/>
        <v>0</v>
      </c>
      <c r="H16" s="18">
        <f t="shared" si="13"/>
        <v>10</v>
      </c>
      <c r="I16" s="18">
        <f t="shared" si="13"/>
        <v>0</v>
      </c>
      <c r="J16" s="18">
        <f t="shared" si="13"/>
        <v>0</v>
      </c>
      <c r="K16" s="18">
        <f t="shared" si="13"/>
        <v>0</v>
      </c>
      <c r="L16" s="18">
        <f t="shared" si="13"/>
        <v>0</v>
      </c>
      <c r="P16" s="22" t="e">
        <f t="shared" si="10"/>
        <v>#VALUE!</v>
      </c>
    </row>
    <row r="17" spans="2:16" ht="15.75" thickBot="1" x14ac:dyDescent="0.3">
      <c r="B17" s="12" t="s">
        <v>31</v>
      </c>
      <c r="C17" s="18">
        <f>COUNTIF($C$3:$C$12,"&lt;="&amp;S3)</f>
        <v>6</v>
      </c>
      <c r="D17" s="18">
        <f>COUNTIF($D$3:$D$12,"&gt;="&amp;S4)</f>
        <v>9</v>
      </c>
      <c r="E17" s="18"/>
      <c r="P17" s="22" t="e">
        <f t="shared" si="10"/>
        <v>#VALUE!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C13" sqref="C13"/>
    </sheetView>
  </sheetViews>
  <sheetFormatPr baseColWidth="10" defaultColWidth="9" defaultRowHeight="15" x14ac:dyDescent="0.25"/>
  <cols>
    <col min="1" max="1" width="5.140625" style="1" customWidth="1"/>
    <col min="2" max="2" width="22.7109375" style="1" bestFit="1" customWidth="1"/>
    <col min="3" max="3" width="10.42578125" style="1" customWidth="1"/>
    <col min="4" max="4" width="12.28515625" style="1" customWidth="1"/>
    <col min="5" max="5" width="11.5703125" style="1" customWidth="1"/>
    <col min="6" max="6" width="10.5703125" style="1" hidden="1" customWidth="1"/>
    <col min="7" max="7" width="9" style="1" hidden="1" customWidth="1"/>
    <col min="8" max="9" width="11" style="1" hidden="1" customWidth="1"/>
    <col min="10" max="10" width="17.28515625" style="1" hidden="1" customWidth="1"/>
    <col min="11" max="11" width="14.28515625" style="1" hidden="1" customWidth="1"/>
    <col min="12" max="12" width="10.140625" style="1" hidden="1" customWidth="1"/>
    <col min="13" max="13" width="9" style="1" hidden="1" customWidth="1"/>
    <col min="14" max="14" width="10.42578125" style="1" hidden="1" customWidth="1"/>
    <col min="15" max="15" width="14.140625" style="1" customWidth="1"/>
    <col min="16" max="16" width="11.85546875" style="1" customWidth="1"/>
    <col min="17" max="17" width="9" style="1"/>
    <col min="18" max="18" width="14" style="1" bestFit="1" customWidth="1"/>
    <col min="19" max="16384" width="9" style="1"/>
  </cols>
  <sheetData>
    <row r="1" spans="2:19" ht="15.75" thickBot="1" x14ac:dyDescent="0.3">
      <c r="G1" s="28"/>
    </row>
    <row r="2" spans="2:19" s="8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.75" thickBot="1" x14ac:dyDescent="0.3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.75" thickTop="1" x14ac:dyDescent="0.25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.75" thickBot="1" x14ac:dyDescent="0.3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.75" thickTop="1" x14ac:dyDescent="0.25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 x14ac:dyDescent="0.25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.75" thickBot="1" x14ac:dyDescent="0.3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tabSelected="1" zoomScale="140" zoomScaleNormal="140" workbookViewId="0">
      <selection activeCell="C13" sqref="C13"/>
    </sheetView>
  </sheetViews>
  <sheetFormatPr baseColWidth="10" defaultColWidth="9.140625" defaultRowHeight="15" x14ac:dyDescent="0.25"/>
  <cols>
    <col min="1" max="1" width="2.140625" customWidth="1"/>
    <col min="2" max="2" width="13.42578125" customWidth="1"/>
    <col min="3" max="3" width="31.42578125" bestFit="1" customWidth="1"/>
    <col min="4" max="4" width="60.42578125" bestFit="1" customWidth="1"/>
  </cols>
  <sheetData>
    <row r="2" spans="2:4" x14ac:dyDescent="0.25">
      <c r="B2" s="37" t="s">
        <v>32</v>
      </c>
      <c r="C2" s="37" t="s">
        <v>40</v>
      </c>
      <c r="D2" s="37" t="s">
        <v>33</v>
      </c>
    </row>
    <row r="3" spans="2:4" x14ac:dyDescent="0.25">
      <c r="B3" s="38" t="e">
        <f>1/0</f>
        <v>#DIV/0!</v>
      </c>
      <c r="C3" s="39" t="s">
        <v>41</v>
      </c>
      <c r="D3" s="38" t="s">
        <v>34</v>
      </c>
    </row>
    <row r="4" spans="2:4" x14ac:dyDescent="0.25">
      <c r="B4" s="38" t="e">
        <f>A4 + "text"</f>
        <v>#VALUE!</v>
      </c>
      <c r="C4" s="39" t="s">
        <v>42</v>
      </c>
      <c r="D4" s="38" t="s">
        <v>35</v>
      </c>
    </row>
    <row r="5" spans="2:4" x14ac:dyDescent="0.25">
      <c r="B5" s="9" t="e">
        <f>#REF!</f>
        <v>#REF!</v>
      </c>
      <c r="C5" s="39" t="s">
        <v>43</v>
      </c>
      <c r="D5" s="38" t="s">
        <v>48</v>
      </c>
    </row>
    <row r="6" spans="2:4" x14ac:dyDescent="0.25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25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25">
      <c r="B8" s="38" t="e">
        <f>SQRT(-1)</f>
        <v>#NUM!</v>
      </c>
      <c r="C8" s="39" t="s">
        <v>44</v>
      </c>
      <c r="D8" s="38" t="s">
        <v>38</v>
      </c>
    </row>
    <row r="9" spans="2:4" x14ac:dyDescent="0.25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Djôbô Yannick LATHRO</cp:lastModifiedBy>
  <dcterms:created xsi:type="dcterms:W3CDTF">2024-07-16T20:11:02Z</dcterms:created>
  <dcterms:modified xsi:type="dcterms:W3CDTF">2025-06-20T16:04:44Z</dcterms:modified>
</cp:coreProperties>
</file>