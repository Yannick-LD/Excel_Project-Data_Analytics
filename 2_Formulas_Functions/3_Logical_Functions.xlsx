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 PATH/Excel_Data_Analytics_Course-main/2_Formulas_Functions/"/>
    </mc:Choice>
  </mc:AlternateContent>
  <xr:revisionPtr revIDLastSave="42" documentId="13_ncr:1_{B4DACF0C-E6D1-403B-A48D-03B483E33508}" xr6:coauthVersionLast="47" xr6:coauthVersionMax="47" xr10:uidLastSave="{1E5AA9EB-A3D0-4429-BBC0-BD05DDDBAD42}"/>
  <bookViews>
    <workbookView xWindow="-120" yWindow="-120" windowWidth="29040" windowHeight="15720" activeTab="5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 s="1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<sst xmlns="http://schemas.openxmlformats.org/spreadsheetml/2006/main" count="395" uniqueCount="144">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</sst>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5" sqref="Q5"/>
    </sheetView>
  </sheetViews>
  <sheetFormatPr baseColWidth="10"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>IF(P4,"Goal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ref="Q4:Q12" si="11">IF(P5,"Goal met", "Not Met")</f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R2" sqref="R2"/>
    </sheetView>
  </sheetViews>
  <sheetFormatPr baseColWidth="10" defaultColWidth="9.140625" defaultRowHeight="15" x14ac:dyDescent="0.25"/>
  <cols>
    <col min="1" max="1" width="16.85546875" bestFit="1" customWidth="1"/>
    <col min="2" max="2" width="19.1406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1" hidden="1" customWidth="1"/>
    <col min="12" max="12" width="14.28515625" hidden="1" customWidth="1"/>
    <col min="13" max="13" width="12" customWidth="1"/>
    <col min="14" max="14" width="6.5703125" hidden="1" customWidth="1"/>
    <col min="15" max="15" width="5.5703125" hidden="1" customWidth="1"/>
    <col min="16" max="16" width="9.42578125" hidden="1" customWidth="1"/>
    <col min="17" max="17" width="13.5703125" customWidth="1"/>
    <col min="18" max="18" width="13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"Role desired", "Not desired")</f>
        <v>Not desired</v>
      </c>
      <c r="L2" t="str">
        <f>IF($A2=L$1, "Role desired", "Not desired")</f>
        <v>Not desired</v>
      </c>
      <c r="M2" t="str">
        <f>IF($A2=K$1, "Role desired", IF($A2=L$1, "Role desired", "Not desired"))</f>
        <v>Not desired</v>
      </c>
      <c r="N2" t="b">
        <f>AND(K$1=$A2,L$1=$A2)</f>
        <v>0</v>
      </c>
      <c r="O2" t="b">
        <f>OR(K$1=$A2,L$1=$A2)</f>
        <v>0</v>
      </c>
      <c r="P2" t="str">
        <f>IF(OR(K$1=$A2,L$1=$A2), "Role Desired", "NOT Desired")</f>
        <v>NOT Desired</v>
      </c>
      <c r="Q2" t="str">
        <f>IF($H2&gt;$Q$1, "&gt; 85k Salary", "&lt;")</f>
        <v>&gt; 85k Salary</v>
      </c>
      <c r="R2" t="str" cm="1">
        <f t="array" ref="R2">_xlfn.IFS($H2="", "No Data", $H2&gt;$Q$1, "&gt; 85k Salary", $H2&lt;$Q$1,"&lt;")</f>
        <v>&gt; 85k Salary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 "Role desired", "Not desired")</f>
        <v>Role desired</v>
      </c>
      <c r="L3" t="str">
        <f t="shared" si="0"/>
        <v>Not desired</v>
      </c>
      <c r="M3" t="str">
        <f t="shared" ref="M3:M21" si="1">IF($A3=K$1, "Role desired", IF($A3=L$1, "Role desired", "Not desired"))</f>
        <v>Role desired</v>
      </c>
      <c r="N3" t="b">
        <f t="shared" ref="N3:N21" si="2">AND(K$1=$A3,L$1=$A3)</f>
        <v>0</v>
      </c>
      <c r="O3" t="b">
        <f t="shared" ref="O3:O21" si="3">OR(K$1=$A3,L$1=$A3)</f>
        <v>1</v>
      </c>
      <c r="P3" t="str">
        <f t="shared" ref="P3:P21" si="4">IF(OR(K$1=$A3,L$1=$A3), "Role Desired", "NOT Desired")</f>
        <v>Role Desired</v>
      </c>
      <c r="Q3" t="str">
        <f t="shared" ref="Q3:Q21" si="5">IF($H3&gt;$Q$1, "&gt; 85k Salary", "&lt;")</f>
        <v>&lt;</v>
      </c>
      <c r="R3" t="str" cm="1">
        <f t="array" ref="R3">_xlfn.IFS($H3="", "No Data", $H3&gt;$Q$1, "&gt; 85k Salary", $H3&lt;$Q$1,"&lt;")</f>
        <v>&lt;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&lt;</v>
      </c>
      <c r="R4" t="str" cm="1">
        <f t="array" ref="R4">_xlfn.IFS($H4="", "No Data", $H4&gt;$Q$1, "&gt; 85k Salary", $H4&lt;$Q$1,"&lt;")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&lt;</v>
      </c>
      <c r="R5" t="str" cm="1">
        <f t="array" ref="R5">_xlfn.IFS($H5="", "No Data", $H5&gt;$Q$1, "&gt; 85k Salary", $H5&lt;$Q$1,"&lt;")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&lt;</v>
      </c>
      <c r="R6" t="str" cm="1">
        <f t="array" ref="R6">_xlfn.IFS($H6="", "No Data", $H6&gt;$Q$1, "&gt; 85k Salary", $H6&lt;$Q$1,"&lt;")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&lt;</v>
      </c>
      <c r="R7" t="str" cm="1">
        <f t="array" ref="R7">_xlfn.IFS($H7="", "No Data", $H7&gt;$Q$1, "&gt; 85k Salary", $H7&lt;$Q$1,"&lt;")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&lt;</v>
      </c>
      <c r="R8" t="str" cm="1">
        <f t="array" ref="R8">_xlfn.IFS($H8="", "No Data", $H8&gt;$Q$1, "&gt; 85k Salary", $H8&lt;$Q$1,"&lt;")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&gt; 85k Salary</v>
      </c>
      <c r="R9" t="str" cm="1">
        <f t="array" ref="R9">_xlfn.IFS($H9="", "No Data", $H9&gt;$Q$1, "&gt; 85k Salary", $H9&lt;$Q$1,"&lt;")</f>
        <v>&gt; 85k Salary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&lt;</v>
      </c>
      <c r="R10" t="str" cm="1">
        <f t="array" ref="R10">_xlfn.IFS($H10="", "No Data", $H10&gt;$Q$1, "&gt; 85k Salary", $H10&lt;$Q$1,"&lt;")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&gt; 85k Salary</v>
      </c>
      <c r="R11" t="str" cm="1">
        <f t="array" ref="R11">_xlfn.IFS($H11="", "No Data", $H11&gt;$Q$1, "&gt; 85k Salary", $H11&lt;$Q$1,"&lt;")</f>
        <v>&gt; 85k Salary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&gt; 85k Salary</v>
      </c>
      <c r="R12" t="str" cm="1">
        <f t="array" ref="R12">_xlfn.IFS($H12="", "No Data", $H12&gt;$Q$1, "&gt; 85k Salary", $H12&lt;$Q$1,"&lt;")</f>
        <v>&gt; 85k Salary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&gt; 85k Salary</v>
      </c>
      <c r="R13" t="str" cm="1">
        <f t="array" ref="R13">_xlfn.IFS($H13="", "No Data", $H13&gt;$Q$1, "&gt; 85k Salary", $H13&lt;$Q$1,"&lt;")</f>
        <v>&gt; 85k Salary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&gt; 85k Salary</v>
      </c>
      <c r="R14" t="str" cm="1">
        <f t="array" ref="R14">_xlfn.IFS($H14="", "No Data", $H14&gt;$Q$1, "&gt; 85k Salary", $H14&lt;$Q$1,"&lt;")</f>
        <v>&gt; 85k Salary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&lt;</v>
      </c>
      <c r="R15" t="str" cm="1">
        <f t="array" ref="R15">_xlfn.IFS($H15="", "No Data", $H15&gt;$Q$1, "&gt; 85k Salary", $H15&lt;$Q$1,"&lt;")</f>
        <v>&lt;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&gt; 85k Salary</v>
      </c>
      <c r="R16" t="str" cm="1">
        <f t="array" ref="R16">_xlfn.IFS($H16="", "No Data", $H16&gt;$Q$1, "&gt; 85k Salary", $H16&lt;$Q$1,"&lt;")</f>
        <v>&gt; 85k Salary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&gt; 85k Salary</v>
      </c>
      <c r="R17" t="str" cm="1">
        <f t="array" ref="R17">_xlfn.IFS($H17="", "No Data", $H17&gt;$Q$1, "&gt; 85k Salary", $H17&lt;$Q$1,"&lt;")</f>
        <v>&gt; 85k Salary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&lt;</v>
      </c>
      <c r="R18" t="str" cm="1">
        <f t="array" ref="R18">_xlfn.IFS($H18="", "No Data", $H18&gt;$Q$1, "&gt; 85k Salary", $H18&lt;$Q$1,"&lt;")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&gt; 85k Salary</v>
      </c>
      <c r="R19" t="str" cm="1">
        <f t="array" ref="R19">_xlfn.IFS($H19="", "No Data", $H19&gt;$Q$1, "&gt; 85k Salary", $H19&lt;$Q$1,"&lt;")</f>
        <v>&gt; 85k Salary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&lt;</v>
      </c>
      <c r="R20" t="str" cm="1">
        <f t="array" ref="R20">_xlfn.IFS($H20="", "No Data", $H20&gt;$Q$1, "&gt; 85k Salary", $H20&lt;$Q$1,"&lt;")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&gt; 85k Salary</v>
      </c>
      <c r="R21" t="str" cm="1">
        <f t="array" ref="R21">_xlfn.IFS($H21="", "No Data", $H21&gt;$Q$1, "&gt; 85k Salary", $H21&lt;$Q$1,"&lt;")</f>
        <v>&gt; 85k Salary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>
      <selection activeCell="R3" sqref="R3"/>
    </sheetView>
  </sheetViews>
  <sheetFormatPr baseColWidth="10" defaultColWidth="9.140625"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9.140625"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tabSelected="1" workbookViewId="0">
      <selection activeCell="J20" sqref="J20"/>
    </sheetView>
  </sheetViews>
  <sheetFormatPr baseColWidth="10" defaultColWidth="9.140625"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2024-07-16T20:11:02Z</dcterms:created>
  <dcterms:modified xsi:type="dcterms:W3CDTF">2025-06-20T16:35:37Z</dcterms:modified>
</cp:coreProperties>
</file>